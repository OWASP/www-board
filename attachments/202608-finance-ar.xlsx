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9" i="1" l="1"/>
</calcChain>
</file>

<file path=xl/sharedStrings.xml><?xml version="1.0" encoding="utf-8"?>
<sst xmlns="http://schemas.openxmlformats.org/spreadsheetml/2006/main" count="524" uniqueCount="289">
  <si>
    <t>OWASP Foundation, Inc.</t>
  </si>
  <si>
    <t>A/R Aging Detail Report</t>
  </si>
  <si>
    <t>As of Aug 31, 2026</t>
  </si>
  <si>
    <t>91 or more days past due</t>
  </si>
  <si>
    <t>09/25/2025</t>
  </si>
  <si>
    <t>Invoice</t>
  </si>
  <si>
    <t>3975</t>
  </si>
  <si>
    <t>Securiti.ai</t>
  </si>
  <si>
    <t>Project Locations:.Project GenAI Security</t>
  </si>
  <si>
    <t>09/29/2025</t>
  </si>
  <si>
    <t>3978</t>
  </si>
  <si>
    <t>PromptArmor</t>
  </si>
  <si>
    <t>12/01/2025</t>
  </si>
  <si>
    <t>4023</t>
  </si>
  <si>
    <t>Archestra Inc</t>
  </si>
  <si>
    <t>4024</t>
  </si>
  <si>
    <t>F5 (GBP)</t>
  </si>
  <si>
    <t>12/03/2025</t>
  </si>
  <si>
    <t>4030</t>
  </si>
  <si>
    <t>WhiteSource, Inc.</t>
  </si>
  <si>
    <t>4033</t>
  </si>
  <si>
    <t>HiddenLayer</t>
  </si>
  <si>
    <t>4034</t>
  </si>
  <si>
    <t>Snyk, Inc.</t>
  </si>
  <si>
    <t>4035</t>
  </si>
  <si>
    <t>Cobalt Labs, Inc.</t>
  </si>
  <si>
    <t>12/31/2025</t>
  </si>
  <si>
    <t>4050</t>
  </si>
  <si>
    <t>CyberRiskAlliance LLC</t>
  </si>
  <si>
    <t>01/12/2026</t>
  </si>
  <si>
    <t>4054</t>
  </si>
  <si>
    <t>SOAISEC LABS PRIVATE LIMITED</t>
  </si>
  <si>
    <t>12/18/2025</t>
  </si>
  <si>
    <t>4048</t>
  </si>
  <si>
    <t>Echo Software LTD</t>
  </si>
  <si>
    <t>Regional Locations:.AppSec Day Israel 2026</t>
  </si>
  <si>
    <t>01/17/2026</t>
  </si>
  <si>
    <t>01/07/2026</t>
  </si>
  <si>
    <t>4052</t>
  </si>
  <si>
    <t>Oligo Security</t>
  </si>
  <si>
    <t/>
  </si>
  <si>
    <t>02/06/2026</t>
  </si>
  <si>
    <t>01/22/2026</t>
  </si>
  <si>
    <t>4062</t>
  </si>
  <si>
    <t>Clover Security, Inc</t>
  </si>
  <si>
    <t>Regional Locations:.AppSec BASC 2026</t>
  </si>
  <si>
    <t>02/21/2026</t>
  </si>
  <si>
    <t>4065</t>
  </si>
  <si>
    <t>GitGuardian SAS</t>
  </si>
  <si>
    <t>Regional Locations:.AppSec France 2026</t>
  </si>
  <si>
    <t>01/28/2026</t>
  </si>
  <si>
    <t>4078</t>
  </si>
  <si>
    <t>DryRun Security Co.</t>
  </si>
  <si>
    <t>Regional Locations:.AppSec SnowFroc 2026</t>
  </si>
  <si>
    <t>02/27/2026</t>
  </si>
  <si>
    <t>4082</t>
  </si>
  <si>
    <t>Software Integrity Group GmbH -USD</t>
  </si>
  <si>
    <t>Regional Locations:.AppSec German Day 2025</t>
  </si>
  <si>
    <t>02/18/2026</t>
  </si>
  <si>
    <t>4113</t>
  </si>
  <si>
    <t>Protecto</t>
  </si>
  <si>
    <t>03/03/2026</t>
  </si>
  <si>
    <t>4114</t>
  </si>
  <si>
    <t>Trend Micro</t>
  </si>
  <si>
    <t>02/02/2026</t>
  </si>
  <si>
    <t>4090</t>
  </si>
  <si>
    <t>v6Protect</t>
  </si>
  <si>
    <t>03/04/2026</t>
  </si>
  <si>
    <t>4092</t>
  </si>
  <si>
    <t>Tenzai</t>
  </si>
  <si>
    <t>02/09/2026</t>
  </si>
  <si>
    <t>4098</t>
  </si>
  <si>
    <t>Regional Locations:.AppSec Lascon 2026</t>
  </si>
  <si>
    <t>03/11/2026</t>
  </si>
  <si>
    <t>02/11/2026</t>
  </si>
  <si>
    <t>4105</t>
  </si>
  <si>
    <t>Devoteam</t>
  </si>
  <si>
    <t>Regional Locations:.AppSec Days Portugal 2026</t>
  </si>
  <si>
    <t>03/13/2026</t>
  </si>
  <si>
    <t>03/15/2026</t>
  </si>
  <si>
    <t>4149</t>
  </si>
  <si>
    <t>TELUS</t>
  </si>
  <si>
    <t>4128</t>
  </si>
  <si>
    <t>NowSecure Inc</t>
  </si>
  <si>
    <t>03/18/2026</t>
  </si>
  <si>
    <t>02/23/2026</t>
  </si>
  <si>
    <t>4117</t>
  </si>
  <si>
    <t>CELFOCUS</t>
  </si>
  <si>
    <t>03/25/2026</t>
  </si>
  <si>
    <t>4118</t>
  </si>
  <si>
    <t>Raven Cloud Inc</t>
  </si>
  <si>
    <t>4129</t>
  </si>
  <si>
    <t>03/27/2026</t>
  </si>
  <si>
    <t>Payment</t>
  </si>
  <si>
    <t>Global Locations:.Global AppSec EU 2026</t>
  </si>
  <si>
    <t>03/02/2026</t>
  </si>
  <si>
    <t>4125</t>
  </si>
  <si>
    <t>StackHawk</t>
  </si>
  <si>
    <t>04/01/2026</t>
  </si>
  <si>
    <t>4131</t>
  </si>
  <si>
    <t>04/02/2026</t>
  </si>
  <si>
    <t>03/09/2026</t>
  </si>
  <si>
    <t>4141</t>
  </si>
  <si>
    <t>Wallarm</t>
  </si>
  <si>
    <t>04/08/2026</t>
  </si>
  <si>
    <t>4147</t>
  </si>
  <si>
    <t>Ridge Security Technology</t>
  </si>
  <si>
    <t>04/10/2026</t>
  </si>
  <si>
    <t>4148</t>
  </si>
  <si>
    <t>Minimus Ltd.</t>
  </si>
  <si>
    <t>03/22/2026</t>
  </si>
  <si>
    <t>4155</t>
  </si>
  <si>
    <t>04/21/2026</t>
  </si>
  <si>
    <t>03/26/2026</t>
  </si>
  <si>
    <t>4161</t>
  </si>
  <si>
    <t>04/25/2026</t>
  </si>
  <si>
    <t>4163</t>
  </si>
  <si>
    <t>Wiz</t>
  </si>
  <si>
    <t>04/07/2026</t>
  </si>
  <si>
    <t>4171</t>
  </si>
  <si>
    <t>Arnica</t>
  </si>
  <si>
    <t>05/07/2026</t>
  </si>
  <si>
    <t>02/10/2026</t>
  </si>
  <si>
    <t>4100</t>
  </si>
  <si>
    <t>Security Phoenix Ltd.</t>
  </si>
  <si>
    <t>05/11/2026</t>
  </si>
  <si>
    <t>04/15/2026</t>
  </si>
  <si>
    <t>4176</t>
  </si>
  <si>
    <t>Infineon Technologies Business Solutions, Unipessoa - EURO</t>
  </si>
  <si>
    <t>05/15/2026</t>
  </si>
  <si>
    <t>04/27/2026</t>
  </si>
  <si>
    <t>4179</t>
  </si>
  <si>
    <t>Apiiro</t>
  </si>
  <si>
    <t>05/27/2026</t>
  </si>
  <si>
    <t>04/28/2026</t>
  </si>
  <si>
    <t>4181</t>
  </si>
  <si>
    <t>Synk Limited</t>
  </si>
  <si>
    <t>05/28/2026</t>
  </si>
  <si>
    <t>4183</t>
  </si>
  <si>
    <t>Xygeni Security S.L</t>
  </si>
  <si>
    <t>Regional Locations:.AppSec German Day 2026</t>
  </si>
  <si>
    <t>4185</t>
  </si>
  <si>
    <t>SCHULTZWERK GmbH</t>
  </si>
  <si>
    <t>Total for 91 or more days past due</t>
  </si>
  <si>
    <t>61 - 90 days past due</t>
  </si>
  <si>
    <t>05/05/2026</t>
  </si>
  <si>
    <t>4199</t>
  </si>
  <si>
    <t>06/04/2026</t>
  </si>
  <si>
    <t>4202</t>
  </si>
  <si>
    <t>Cyber Armor Inc. d.b.a. ARMO</t>
  </si>
  <si>
    <t>06/10/2026</t>
  </si>
  <si>
    <t>05/12/2026</t>
  </si>
  <si>
    <t>4212</t>
  </si>
  <si>
    <t>Maze AI Limited</t>
  </si>
  <si>
    <t>06/11/2026</t>
  </si>
  <si>
    <t>05/14/2026</t>
  </si>
  <si>
    <t>4214</t>
  </si>
  <si>
    <t>Secure Code Warrior LTD - EUR</t>
  </si>
  <si>
    <t>06/13/2026</t>
  </si>
  <si>
    <t>05/19/2026</t>
  </si>
  <si>
    <t>4218</t>
  </si>
  <si>
    <t>JScramber</t>
  </si>
  <si>
    <t>06/18/2026</t>
  </si>
  <si>
    <t>05/20/2026</t>
  </si>
  <si>
    <t>4219</t>
  </si>
  <si>
    <t>Opsin</t>
  </si>
  <si>
    <t>06/19/2026</t>
  </si>
  <si>
    <t>05/21/2026</t>
  </si>
  <si>
    <t>4220</t>
  </si>
  <si>
    <t>Checkmarx Germany GmbH</t>
  </si>
  <si>
    <t>06/20/2026</t>
  </si>
  <si>
    <t>4230</t>
  </si>
  <si>
    <t>aramido GmbH - EUR</t>
  </si>
  <si>
    <t>06/27/2026</t>
  </si>
  <si>
    <t>05/29/2026</t>
  </si>
  <si>
    <t>4232</t>
  </si>
  <si>
    <t>F5</t>
  </si>
  <si>
    <t>06/28/2026</t>
  </si>
  <si>
    <t>Total for 61 - 90 days past due</t>
  </si>
  <si>
    <t>31 - 60 days past due</t>
  </si>
  <si>
    <t>06/03/2026</t>
  </si>
  <si>
    <t>4234</t>
  </si>
  <si>
    <t>NOS Technology - Concepcao Construcao</t>
  </si>
  <si>
    <t>07/03/2026</t>
  </si>
  <si>
    <t>4235</t>
  </si>
  <si>
    <t>Cloudflare Portugal, Unipessoal Lda.</t>
  </si>
  <si>
    <t>4241</t>
  </si>
  <si>
    <t>07/13/2026</t>
  </si>
  <si>
    <t>06/14/2026</t>
  </si>
  <si>
    <t>4243</t>
  </si>
  <si>
    <t>SonarSource SA - EU</t>
  </si>
  <si>
    <t>07/14/2026</t>
  </si>
  <si>
    <t>Total for 31 - 60 days past due</t>
  </si>
  <si>
    <t>1 - 30 days past due</t>
  </si>
  <si>
    <t>07/07/2026</t>
  </si>
  <si>
    <t>4275</t>
  </si>
  <si>
    <t>Integrated Inspiring Solutions, Unip. Lda</t>
  </si>
  <si>
    <t>08/06/2026</t>
  </si>
  <si>
    <t>07/08/2026</t>
  </si>
  <si>
    <t>4279</t>
  </si>
  <si>
    <t>Symbiotic Security Inc</t>
  </si>
  <si>
    <t>08/07/2026</t>
  </si>
  <si>
    <t>4280</t>
  </si>
  <si>
    <t>Global Locations:.Global AppSec USA 2026</t>
  </si>
  <si>
    <t>07/20/2026</t>
  </si>
  <si>
    <t>4286</t>
  </si>
  <si>
    <t>SignPath GmbH - USD</t>
  </si>
  <si>
    <t>08/19/2026</t>
  </si>
  <si>
    <t>07/21/2026</t>
  </si>
  <si>
    <t>4288</t>
  </si>
  <si>
    <t>DM Advisory, LDA</t>
  </si>
  <si>
    <t>08/20/2026</t>
  </si>
  <si>
    <t>07/23/2026</t>
  </si>
  <si>
    <t>4292</t>
  </si>
  <si>
    <t>08/23/2026</t>
  </si>
  <si>
    <t>08/25/2026</t>
  </si>
  <si>
    <t>4319</t>
  </si>
  <si>
    <t>FireCompass Technologies Inc.</t>
  </si>
  <si>
    <t>07/28/2026</t>
  </si>
  <si>
    <t>4295</t>
  </si>
  <si>
    <t>Siemens Energy Global GmbH &amp; Co. KG</t>
  </si>
  <si>
    <t>08/27/2026</t>
  </si>
  <si>
    <t>07/29/2026</t>
  </si>
  <si>
    <t>4298</t>
  </si>
  <si>
    <t>Palantir Security LTD</t>
  </si>
  <si>
    <t>08/28/2026</t>
  </si>
  <si>
    <t>07/30/2026</t>
  </si>
  <si>
    <t>4301</t>
  </si>
  <si>
    <t>Mend.io</t>
  </si>
  <si>
    <t>08/29/2026</t>
  </si>
  <si>
    <t>Total for 1 - 30 days past due</t>
  </si>
  <si>
    <t>CURRENT</t>
  </si>
  <si>
    <t>08/31/2026</t>
  </si>
  <si>
    <t>Legit Security Inc - Boston</t>
  </si>
  <si>
    <t>08/10/2026</t>
  </si>
  <si>
    <t>4304</t>
  </si>
  <si>
    <t>Xygeni Secuirty S.L</t>
  </si>
  <si>
    <t>09/09/2026</t>
  </si>
  <si>
    <t>4305</t>
  </si>
  <si>
    <t>Exclusive Networks S.L.</t>
  </si>
  <si>
    <t>08/13/2026</t>
  </si>
  <si>
    <t>4308</t>
  </si>
  <si>
    <t>ArmorCode Inc.</t>
  </si>
  <si>
    <t>09/12/2026</t>
  </si>
  <si>
    <t>4309</t>
  </si>
  <si>
    <t>Regional Locations:.AppSec India 2026</t>
  </si>
  <si>
    <t>4313</t>
  </si>
  <si>
    <t>DefendU</t>
  </si>
  <si>
    <t>09/19/2026</t>
  </si>
  <si>
    <t>4314</t>
  </si>
  <si>
    <t>Wiz Inc (US)</t>
  </si>
  <si>
    <t>08/24/2026</t>
  </si>
  <si>
    <t>4315</t>
  </si>
  <si>
    <t>Truffle Security</t>
  </si>
  <si>
    <t>09/23/2026</t>
  </si>
  <si>
    <t>4316</t>
  </si>
  <si>
    <t>Corgea, Inc.</t>
  </si>
  <si>
    <t>4317</t>
  </si>
  <si>
    <t>Digital.Ai Software France</t>
  </si>
  <si>
    <t>4318</t>
  </si>
  <si>
    <t>Regional Locations:.AppSec BeNeLux 2026</t>
  </si>
  <si>
    <t>09/24/2026</t>
  </si>
  <si>
    <t>4321</t>
  </si>
  <si>
    <t>PortSwigger Ltd</t>
  </si>
  <si>
    <t>08/26/2026</t>
  </si>
  <si>
    <t>4322</t>
  </si>
  <si>
    <t>Black Duck Software, Inc.</t>
  </si>
  <si>
    <t>09/25/2026</t>
  </si>
  <si>
    <t>4087</t>
  </si>
  <si>
    <t>Aikido Security bv - Belgium</t>
  </si>
  <si>
    <t>09/30/2026</t>
  </si>
  <si>
    <t>4323</t>
  </si>
  <si>
    <t>4326</t>
  </si>
  <si>
    <t>4320</t>
  </si>
  <si>
    <t>10/25/2026</t>
  </si>
  <si>
    <t>Total for CURRENT</t>
  </si>
  <si>
    <t>TOTAL</t>
  </si>
  <si>
    <t>Date</t>
  </si>
  <si>
    <t>Transaction type</t>
  </si>
  <si>
    <t>Num</t>
  </si>
  <si>
    <t>Customer full name</t>
  </si>
  <si>
    <t>Location full name</t>
  </si>
  <si>
    <t>Due date</t>
  </si>
  <si>
    <t>Amount</t>
  </si>
  <si>
    <t>Open balance</t>
  </si>
  <si>
    <t>Revalued Exchange Rate</t>
  </si>
  <si>
    <t>Revalued Open Balance</t>
  </si>
  <si>
    <t>Unrealized Gain Or Loss</t>
  </si>
  <si>
    <t xml:space="preserve"> Monday, September 21, 2026 12:36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</si>
</sst>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5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7" fontId="3" fillId="0" borderId="0" xfId="0" applyNumberFormat="1" applyFo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L103"/>
  <sheetViews>
    <sheetView tabSelected="1" workbookViewId="0" topLeftCell="A1"/>
  </sheetViews>
  <sheetFormatPr defaultColWidth="11.255" defaultRowHeight="16"/>
  <cols>
    <col min="1" max="1" width="29.875" style="23" customWidth="1"/>
    <col min="2" max="2" width="9.25" style="23" customWidth="1"/>
    <col min="3" max="3" width="14.375" style="23" customWidth="1"/>
    <col min="4" max="4" width="7.5" style="23" customWidth="1"/>
    <col min="5" max="5" width="50.5" style="23" customWidth="1"/>
    <col min="6" max="6" width="39.25" style="23" customWidth="1"/>
    <col min="7" max="7" width="9.25" style="23" customWidth="1"/>
    <col min="8" max="9" width="16.125" style="23" customWidth="1"/>
    <col min="10" max="10" width="19.5" style="23" customWidth="1"/>
    <col min="11" max="11" width="18.625" style="23" customWidth="1"/>
    <col min="12" max="12" width="20.375" style="23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2:12" ht="16">
      <c r="B5" s="24" t="s">
        <v>277</v>
      </c>
      <c r="C5" s="24" t="s">
        <v>278</v>
      </c>
      <c r="D5" s="24" t="s">
        <v>279</v>
      </c>
      <c r="E5" s="24" t="s">
        <v>280</v>
      </c>
      <c r="F5" s="24" t="s">
        <v>281</v>
      </c>
      <c r="G5" s="24" t="s">
        <v>282</v>
      </c>
      <c r="H5" s="24" t="s">
        <v>283</v>
      </c>
      <c r="I5" s="24" t="s">
        <v>284</v>
      </c>
      <c r="J5" s="24" t="s">
        <v>285</v>
      </c>
      <c r="K5" s="24" t="s">
        <v>286</v>
      </c>
      <c r="L5" s="24" t="s">
        <v>287</v>
      </c>
    </row>
    <row r="6" spans="1:1" ht="16">
      <c r="A6" s="31" t="s">
        <v>3</v>
      </c>
    </row>
    <row r="7" spans="2:12" ht="16">
      <c r="B7" s="22" t="s">
        <v>4</v>
      </c>
      <c r="C7" s="22" t="s">
        <v>5</v>
      </c>
      <c r="D7" s="22" t="s">
        <v>6</v>
      </c>
      <c r="E7" s="22" t="s">
        <v>7</v>
      </c>
      <c r="F7" s="22" t="s">
        <v>8</v>
      </c>
      <c r="G7" s="22" t="s">
        <v>4</v>
      </c>
      <c r="H7" s="25">
        <v>10000.0</v>
      </c>
      <c r="I7" s="25">
        <v>10000.0</v>
      </c>
      <c r="J7" s="22"/>
      <c r="K7" s="25">
        <v>10000.0</v>
      </c>
      <c r="L7" s="25">
        <v>0</v>
      </c>
    </row>
    <row r="8" spans="2:12" ht="16">
      <c r="B8" s="22" t="s">
        <v>9</v>
      </c>
      <c r="C8" s="22" t="s">
        <v>5</v>
      </c>
      <c r="D8" s="22" t="s">
        <v>10</v>
      </c>
      <c r="E8" s="22" t="s">
        <v>11</v>
      </c>
      <c r="F8" s="22" t="s">
        <v>8</v>
      </c>
      <c r="G8" s="22" t="s">
        <v>9</v>
      </c>
      <c r="H8" s="25">
        <v>7500.0</v>
      </c>
      <c r="I8" s="25">
        <v>7500.0</v>
      </c>
      <c r="J8" s="22"/>
      <c r="K8" s="25">
        <v>7500.0</v>
      </c>
      <c r="L8" s="25">
        <v>0</v>
      </c>
    </row>
    <row r="9" spans="2:12" ht="16">
      <c r="B9" s="22" t="s">
        <v>12</v>
      </c>
      <c r="C9" s="22" t="s">
        <v>5</v>
      </c>
      <c r="D9" s="22" t="s">
        <v>13</v>
      </c>
      <c r="E9" s="22" t="s">
        <v>14</v>
      </c>
      <c r="F9" s="22" t="s">
        <v>8</v>
      </c>
      <c r="G9" s="22" t="s">
        <v>12</v>
      </c>
      <c r="H9" s="25">
        <v>7500.0</v>
      </c>
      <c r="I9" s="25">
        <v>7500.0</v>
      </c>
      <c r="J9" s="22"/>
      <c r="K9" s="25">
        <v>7500.0</v>
      </c>
      <c r="L9" s="25">
        <v>0</v>
      </c>
    </row>
    <row r="10" spans="2:12" ht="16">
      <c r="B10" s="22" t="s">
        <v>12</v>
      </c>
      <c r="C10" s="22" t="s">
        <v>5</v>
      </c>
      <c r="D10" s="22" t="s">
        <v>15</v>
      </c>
      <c r="E10" s="22" t="s">
        <v>16</v>
      </c>
      <c r="F10" s="22" t="s">
        <v>8</v>
      </c>
      <c r="G10" s="22" t="s">
        <v>12</v>
      </c>
      <c r="H10" s="25">
        <v>13253.11</v>
      </c>
      <c r="I10" s="25">
        <v>13253.11</v>
      </c>
      <c r="J10" s="22"/>
      <c r="K10" s="22"/>
      <c r="L10" s="22"/>
    </row>
    <row r="11" spans="2:12" ht="16">
      <c r="B11" s="22" t="s">
        <v>17</v>
      </c>
      <c r="C11" s="22" t="s">
        <v>5</v>
      </c>
      <c r="D11" s="22" t="s">
        <v>18</v>
      </c>
      <c r="E11" s="22" t="s">
        <v>19</v>
      </c>
      <c r="F11" s="22" t="s">
        <v>8</v>
      </c>
      <c r="G11" s="22" t="s">
        <v>17</v>
      </c>
      <c r="H11" s="25">
        <v>22500.0</v>
      </c>
      <c r="I11" s="25">
        <v>22500.0</v>
      </c>
      <c r="J11" s="22"/>
      <c r="K11" s="25">
        <v>22500.0</v>
      </c>
      <c r="L11" s="25">
        <v>0</v>
      </c>
    </row>
    <row r="12" spans="2:12" ht="16">
      <c r="B12" s="22" t="s">
        <v>17</v>
      </c>
      <c r="C12" s="22" t="s">
        <v>5</v>
      </c>
      <c r="D12" s="22" t="s">
        <v>20</v>
      </c>
      <c r="E12" s="22" t="s">
        <v>21</v>
      </c>
      <c r="F12" s="22" t="s">
        <v>8</v>
      </c>
      <c r="G12" s="22" t="s">
        <v>17</v>
      </c>
      <c r="H12" s="25">
        <v>22500.0</v>
      </c>
      <c r="I12" s="25">
        <v>22500.0</v>
      </c>
      <c r="J12" s="22"/>
      <c r="K12" s="25">
        <v>22500.0</v>
      </c>
      <c r="L12" s="25">
        <v>0</v>
      </c>
    </row>
    <row r="13" spans="2:12" ht="16">
      <c r="B13" s="22" t="s">
        <v>17</v>
      </c>
      <c r="C13" s="22" t="s">
        <v>5</v>
      </c>
      <c r="D13" s="22" t="s">
        <v>22</v>
      </c>
      <c r="E13" s="22" t="s">
        <v>23</v>
      </c>
      <c r="F13" s="22" t="s">
        <v>8</v>
      </c>
      <c r="G13" s="22" t="s">
        <v>17</v>
      </c>
      <c r="H13" s="25">
        <v>35000.0</v>
      </c>
      <c r="I13" s="25">
        <v>35000.0</v>
      </c>
      <c r="J13" s="22"/>
      <c r="K13" s="25">
        <v>35000.0</v>
      </c>
      <c r="L13" s="25">
        <v>0</v>
      </c>
    </row>
    <row r="14" spans="2:12" ht="16">
      <c r="B14" s="22" t="s">
        <v>17</v>
      </c>
      <c r="C14" s="22" t="s">
        <v>5</v>
      </c>
      <c r="D14" s="22" t="s">
        <v>24</v>
      </c>
      <c r="E14" s="22" t="s">
        <v>25</v>
      </c>
      <c r="F14" s="22" t="s">
        <v>8</v>
      </c>
      <c r="G14" s="22" t="s">
        <v>17</v>
      </c>
      <c r="H14" s="25">
        <v>10000.0</v>
      </c>
      <c r="I14" s="25">
        <v>10000.0</v>
      </c>
      <c r="J14" s="22"/>
      <c r="K14" s="25">
        <v>10000.0</v>
      </c>
      <c r="L14" s="25">
        <v>0</v>
      </c>
    </row>
    <row r="15" spans="2:12" ht="16">
      <c r="B15" s="22" t="s">
        <v>26</v>
      </c>
      <c r="C15" s="22" t="s">
        <v>5</v>
      </c>
      <c r="D15" s="22" t="s">
        <v>27</v>
      </c>
      <c r="E15" s="22" t="s">
        <v>28</v>
      </c>
      <c r="F15" s="22" t="s">
        <v>8</v>
      </c>
      <c r="G15" s="22" t="s">
        <v>26</v>
      </c>
      <c r="H15" s="25">
        <v>33642.5</v>
      </c>
      <c r="I15" s="25">
        <v>33642.5</v>
      </c>
      <c r="J15" s="22"/>
      <c r="K15" s="25">
        <v>33642.5</v>
      </c>
      <c r="L15" s="25">
        <v>0</v>
      </c>
    </row>
    <row r="16" spans="2:12" ht="16">
      <c r="B16" s="22" t="s">
        <v>29</v>
      </c>
      <c r="C16" s="22" t="s">
        <v>5</v>
      </c>
      <c r="D16" s="22" t="s">
        <v>30</v>
      </c>
      <c r="E16" s="22" t="s">
        <v>31</v>
      </c>
      <c r="F16" s="22" t="s">
        <v>8</v>
      </c>
      <c r="G16" s="22" t="s">
        <v>29</v>
      </c>
      <c r="H16" s="25">
        <v>7500.0</v>
      </c>
      <c r="I16" s="25">
        <v>7500.0</v>
      </c>
      <c r="J16" s="22"/>
      <c r="K16" s="25">
        <v>7500.0</v>
      </c>
      <c r="L16" s="25">
        <v>0</v>
      </c>
    </row>
    <row r="17" spans="2:12" ht="16">
      <c r="B17" s="22" t="s">
        <v>32</v>
      </c>
      <c r="C17" s="22" t="s">
        <v>5</v>
      </c>
      <c r="D17" s="22" t="s">
        <v>33</v>
      </c>
      <c r="E17" s="22" t="s">
        <v>34</v>
      </c>
      <c r="F17" s="22" t="s">
        <v>35</v>
      </c>
      <c r="G17" s="22" t="s">
        <v>36</v>
      </c>
      <c r="H17" s="25">
        <v>13600.0</v>
      </c>
      <c r="I17" s="25">
        <v>13600.0</v>
      </c>
      <c r="J17" s="22"/>
      <c r="K17" s="25">
        <v>13600.0</v>
      </c>
      <c r="L17" s="25">
        <v>0</v>
      </c>
    </row>
    <row r="18" spans="2:12" ht="16">
      <c r="B18" s="22" t="s">
        <v>37</v>
      </c>
      <c r="C18" s="22" t="s">
        <v>5</v>
      </c>
      <c r="D18" s="22" t="s">
        <v>38</v>
      </c>
      <c r="E18" s="22" t="s">
        <v>39</v>
      </c>
      <c r="F18" s="22" t="s">
        <v>40</v>
      </c>
      <c r="G18" s="22" t="s">
        <v>41</v>
      </c>
      <c r="H18" s="25">
        <v>5000.0</v>
      </c>
      <c r="I18" s="25">
        <v>5000.0</v>
      </c>
      <c r="J18" s="22"/>
      <c r="K18" s="25">
        <v>5000.0</v>
      </c>
      <c r="L18" s="25">
        <v>0</v>
      </c>
    </row>
    <row r="19" spans="2:12" ht="16">
      <c r="B19" s="22" t="s">
        <v>42</v>
      </c>
      <c r="C19" s="22" t="s">
        <v>5</v>
      </c>
      <c r="D19" s="22" t="s">
        <v>43</v>
      </c>
      <c r="E19" s="22" t="s">
        <v>44</v>
      </c>
      <c r="F19" s="22" t="s">
        <v>45</v>
      </c>
      <c r="G19" s="22" t="s">
        <v>46</v>
      </c>
      <c r="H19" s="25">
        <v>5000.0</v>
      </c>
      <c r="I19" s="25">
        <v>5000.0</v>
      </c>
      <c r="J19" s="22"/>
      <c r="K19" s="25">
        <v>5000.0</v>
      </c>
      <c r="L19" s="25">
        <v>0</v>
      </c>
    </row>
    <row r="20" spans="2:12" ht="16">
      <c r="B20" s="22" t="s">
        <v>42</v>
      </c>
      <c r="C20" s="22" t="s">
        <v>5</v>
      </c>
      <c r="D20" s="22" t="s">
        <v>47</v>
      </c>
      <c r="E20" s="22" t="s">
        <v>48</v>
      </c>
      <c r="F20" s="22" t="s">
        <v>49</v>
      </c>
      <c r="G20" s="22" t="s">
        <v>46</v>
      </c>
      <c r="H20" s="25">
        <v>5864.2</v>
      </c>
      <c r="I20" s="25">
        <v>5864.2</v>
      </c>
      <c r="J20" s="22"/>
      <c r="K20" s="25">
        <v>5864.2</v>
      </c>
      <c r="L20" s="25">
        <v>0</v>
      </c>
    </row>
    <row r="21" spans="2:12" ht="16">
      <c r="B21" s="22" t="s">
        <v>50</v>
      </c>
      <c r="C21" s="22" t="s">
        <v>5</v>
      </c>
      <c r="D21" s="22" t="s">
        <v>51</v>
      </c>
      <c r="E21" s="22" t="s">
        <v>52</v>
      </c>
      <c r="F21" s="22" t="s">
        <v>53</v>
      </c>
      <c r="G21" s="22" t="s">
        <v>54</v>
      </c>
      <c r="H21" s="25">
        <v>5000.0</v>
      </c>
      <c r="I21" s="25">
        <v>5000.0</v>
      </c>
      <c r="J21" s="22"/>
      <c r="K21" s="25">
        <v>5000.0</v>
      </c>
      <c r="L21" s="25">
        <v>0</v>
      </c>
    </row>
    <row r="22" spans="2:12" ht="16">
      <c r="B22" s="22" t="s">
        <v>50</v>
      </c>
      <c r="C22" s="22" t="s">
        <v>5</v>
      </c>
      <c r="D22" s="22" t="s">
        <v>55</v>
      </c>
      <c r="E22" s="22" t="s">
        <v>56</v>
      </c>
      <c r="F22" s="22" t="s">
        <v>57</v>
      </c>
      <c r="G22" s="22" t="s">
        <v>54</v>
      </c>
      <c r="H22" s="25">
        <v>1790.0</v>
      </c>
      <c r="I22" s="25">
        <v>1790.0</v>
      </c>
      <c r="J22" s="22"/>
      <c r="K22" s="25">
        <v>1790.0</v>
      </c>
      <c r="L22" s="25">
        <v>0</v>
      </c>
    </row>
    <row r="23" spans="2:12" ht="16">
      <c r="B23" s="22" t="s">
        <v>58</v>
      </c>
      <c r="C23" s="22" t="s">
        <v>5</v>
      </c>
      <c r="D23" s="22" t="s">
        <v>59</v>
      </c>
      <c r="E23" s="22" t="s">
        <v>60</v>
      </c>
      <c r="F23" s="22" t="s">
        <v>8</v>
      </c>
      <c r="G23" s="22" t="s">
        <v>61</v>
      </c>
      <c r="H23" s="25">
        <v>7500.0</v>
      </c>
      <c r="I23" s="25">
        <v>7500.0</v>
      </c>
      <c r="J23" s="22"/>
      <c r="K23" s="25">
        <v>7500.0</v>
      </c>
      <c r="L23" s="25">
        <v>0</v>
      </c>
    </row>
    <row r="24" spans="2:12" ht="16">
      <c r="B24" s="22" t="s">
        <v>58</v>
      </c>
      <c r="C24" s="22" t="s">
        <v>5</v>
      </c>
      <c r="D24" s="22" t="s">
        <v>62</v>
      </c>
      <c r="E24" s="22" t="s">
        <v>63</v>
      </c>
      <c r="F24" s="22" t="s">
        <v>8</v>
      </c>
      <c r="G24" s="22" t="s">
        <v>61</v>
      </c>
      <c r="H24" s="25">
        <v>35000.0</v>
      </c>
      <c r="I24" s="25">
        <v>35000.0</v>
      </c>
      <c r="J24" s="22"/>
      <c r="K24" s="25">
        <v>35000.0</v>
      </c>
      <c r="L24" s="25">
        <v>0</v>
      </c>
    </row>
    <row r="25" spans="2:12" ht="16">
      <c r="B25" s="22" t="s">
        <v>64</v>
      </c>
      <c r="C25" s="22" t="s">
        <v>5</v>
      </c>
      <c r="D25" s="22" t="s">
        <v>65</v>
      </c>
      <c r="E25" s="22" t="s">
        <v>66</v>
      </c>
      <c r="F25" s="22" t="s">
        <v>49</v>
      </c>
      <c r="G25" s="22" t="s">
        <v>67</v>
      </c>
      <c r="H25" s="25">
        <v>589.62</v>
      </c>
      <c r="I25" s="25">
        <v>589.62</v>
      </c>
      <c r="J25" s="22"/>
      <c r="K25" s="22"/>
      <c r="L25" s="22"/>
    </row>
    <row r="26" spans="2:12" ht="16">
      <c r="B26" s="22" t="s">
        <v>64</v>
      </c>
      <c r="C26" s="22" t="s">
        <v>5</v>
      </c>
      <c r="D26" s="22" t="s">
        <v>68</v>
      </c>
      <c r="E26" s="22" t="s">
        <v>69</v>
      </c>
      <c r="F26" s="22" t="s">
        <v>35</v>
      </c>
      <c r="G26" s="22" t="s">
        <v>67</v>
      </c>
      <c r="H26" s="25">
        <v>9765.0</v>
      </c>
      <c r="I26" s="25">
        <v>9765.0</v>
      </c>
      <c r="J26" s="22"/>
      <c r="K26" s="25">
        <v>9765.0</v>
      </c>
      <c r="L26" s="25">
        <v>0</v>
      </c>
    </row>
    <row r="27" spans="2:12" ht="16">
      <c r="B27" s="22" t="s">
        <v>70</v>
      </c>
      <c r="C27" s="22" t="s">
        <v>5</v>
      </c>
      <c r="D27" s="22" t="s">
        <v>71</v>
      </c>
      <c r="E27" s="22" t="s">
        <v>23</v>
      </c>
      <c r="F27" s="22" t="s">
        <v>72</v>
      </c>
      <c r="G27" s="22" t="s">
        <v>73</v>
      </c>
      <c r="H27" s="25">
        <v>9000.0</v>
      </c>
      <c r="I27" s="25">
        <v>9000.0</v>
      </c>
      <c r="J27" s="22"/>
      <c r="K27" s="25">
        <v>9000.0</v>
      </c>
      <c r="L27" s="25">
        <v>0</v>
      </c>
    </row>
    <row r="28" spans="2:12" ht="16">
      <c r="B28" s="22" t="s">
        <v>74</v>
      </c>
      <c r="C28" s="22" t="s">
        <v>5</v>
      </c>
      <c r="D28" s="22" t="s">
        <v>75</v>
      </c>
      <c r="E28" s="22" t="s">
        <v>76</v>
      </c>
      <c r="F28" s="22" t="s">
        <v>77</v>
      </c>
      <c r="G28" s="22" t="s">
        <v>78</v>
      </c>
      <c r="H28" s="25">
        <v>7121.48</v>
      </c>
      <c r="I28" s="25">
        <v>7121.48</v>
      </c>
      <c r="J28" s="22"/>
      <c r="K28" s="25">
        <v>7121.48</v>
      </c>
      <c r="L28" s="25">
        <v>0</v>
      </c>
    </row>
    <row r="29" spans="2:12" ht="16">
      <c r="B29" s="22" t="s">
        <v>79</v>
      </c>
      <c r="C29" s="22" t="s">
        <v>5</v>
      </c>
      <c r="D29" s="22" t="s">
        <v>80</v>
      </c>
      <c r="E29" s="22" t="s">
        <v>81</v>
      </c>
      <c r="F29" s="22" t="s">
        <v>8</v>
      </c>
      <c r="G29" s="22" t="s">
        <v>79</v>
      </c>
      <c r="H29" s="25">
        <v>15000.0</v>
      </c>
      <c r="I29" s="25">
        <v>15000.0</v>
      </c>
      <c r="J29" s="22"/>
      <c r="K29" s="25">
        <v>15000.0</v>
      </c>
      <c r="L29" s="25">
        <v>0</v>
      </c>
    </row>
    <row r="30" spans="2:12" ht="16">
      <c r="B30" s="22" t="s">
        <v>61</v>
      </c>
      <c r="C30" s="22" t="s">
        <v>5</v>
      </c>
      <c r="D30" s="22" t="s">
        <v>82</v>
      </c>
      <c r="E30" s="22" t="s">
        <v>83</v>
      </c>
      <c r="F30" s="22" t="s">
        <v>45</v>
      </c>
      <c r="G30" s="22" t="s">
        <v>84</v>
      </c>
      <c r="H30" s="25">
        <v>2500.0</v>
      </c>
      <c r="I30" s="25">
        <v>2500.0</v>
      </c>
      <c r="J30" s="22"/>
      <c r="K30" s="25">
        <v>2500.0</v>
      </c>
      <c r="L30" s="25">
        <v>0</v>
      </c>
    </row>
    <row r="31" spans="2:12" ht="16">
      <c r="B31" s="22" t="s">
        <v>85</v>
      </c>
      <c r="C31" s="22" t="s">
        <v>5</v>
      </c>
      <c r="D31" s="22" t="s">
        <v>86</v>
      </c>
      <c r="E31" s="22" t="s">
        <v>87</v>
      </c>
      <c r="F31" s="22" t="s">
        <v>77</v>
      </c>
      <c r="G31" s="22" t="s">
        <v>88</v>
      </c>
      <c r="H31" s="25">
        <v>1763.45</v>
      </c>
      <c r="I31" s="25">
        <v>1763.45</v>
      </c>
      <c r="J31" s="22"/>
      <c r="K31" s="22"/>
      <c r="L31" s="22"/>
    </row>
    <row r="32" spans="2:12" ht="16">
      <c r="B32" s="22" t="s">
        <v>85</v>
      </c>
      <c r="C32" s="22" t="s">
        <v>5</v>
      </c>
      <c r="D32" s="22" t="s">
        <v>89</v>
      </c>
      <c r="E32" s="22" t="s">
        <v>90</v>
      </c>
      <c r="F32" s="22" t="s">
        <v>35</v>
      </c>
      <c r="G32" s="22" t="s">
        <v>88</v>
      </c>
      <c r="H32" s="25">
        <v>2325.0</v>
      </c>
      <c r="I32" s="25">
        <v>2325.0</v>
      </c>
      <c r="J32" s="22"/>
      <c r="K32" s="25">
        <v>2325.0</v>
      </c>
      <c r="L32" s="25">
        <v>0</v>
      </c>
    </row>
    <row r="33" spans="2:12" ht="16">
      <c r="B33" s="22" t="s">
        <v>61</v>
      </c>
      <c r="C33" s="22" t="s">
        <v>5</v>
      </c>
      <c r="D33" s="22" t="s">
        <v>91</v>
      </c>
      <c r="E33" s="22" t="s">
        <v>83</v>
      </c>
      <c r="F33" s="22" t="s">
        <v>45</v>
      </c>
      <c r="G33" s="22" t="s">
        <v>92</v>
      </c>
      <c r="H33" s="25">
        <v>2500.0</v>
      </c>
      <c r="I33" s="25">
        <v>2500.0</v>
      </c>
      <c r="J33" s="22"/>
      <c r="K33" s="25">
        <v>2500.0</v>
      </c>
      <c r="L33" s="25">
        <v>0</v>
      </c>
    </row>
    <row r="34" spans="2:12" ht="16">
      <c r="B34" s="22" t="s">
        <v>92</v>
      </c>
      <c r="C34" s="22" t="s">
        <v>93</v>
      </c>
      <c r="D34" s="22" t="s">
        <v>40</v>
      </c>
      <c r="E34" s="22" t="s">
        <v>39</v>
      </c>
      <c r="F34" s="22" t="s">
        <v>94</v>
      </c>
      <c r="G34" s="22" t="s">
        <v>92</v>
      </c>
      <c r="H34" s="25">
        <v>-17143.06</v>
      </c>
      <c r="I34" s="25">
        <v>-0.01</v>
      </c>
      <c r="J34" s="22"/>
      <c r="K34" s="25">
        <v>-0.01</v>
      </c>
      <c r="L34" s="25">
        <v>0</v>
      </c>
    </row>
    <row r="35" spans="2:12" ht="16">
      <c r="B35" s="22" t="s">
        <v>95</v>
      </c>
      <c r="C35" s="22" t="s">
        <v>5</v>
      </c>
      <c r="D35" s="22" t="s">
        <v>96</v>
      </c>
      <c r="E35" s="22" t="s">
        <v>97</v>
      </c>
      <c r="F35" s="22" t="s">
        <v>53</v>
      </c>
      <c r="G35" s="22" t="s">
        <v>98</v>
      </c>
      <c r="H35" s="25">
        <v>4000.0</v>
      </c>
      <c r="I35" s="25">
        <v>4000.0</v>
      </c>
      <c r="J35" s="22"/>
      <c r="K35" s="25">
        <v>4000.0</v>
      </c>
      <c r="L35" s="25">
        <v>0</v>
      </c>
    </row>
    <row r="36" spans="2:12" ht="16">
      <c r="B36" s="22" t="s">
        <v>61</v>
      </c>
      <c r="C36" s="22" t="s">
        <v>5</v>
      </c>
      <c r="D36" s="22" t="s">
        <v>99</v>
      </c>
      <c r="E36" s="22" t="s">
        <v>97</v>
      </c>
      <c r="F36" s="22" t="s">
        <v>45</v>
      </c>
      <c r="G36" s="22" t="s">
        <v>100</v>
      </c>
      <c r="H36" s="25">
        <v>4000.0</v>
      </c>
      <c r="I36" s="25">
        <v>4000.0</v>
      </c>
      <c r="J36" s="22"/>
      <c r="K36" s="25">
        <v>4000.0</v>
      </c>
      <c r="L36" s="25">
        <v>0</v>
      </c>
    </row>
    <row r="37" spans="2:12" ht="16">
      <c r="B37" s="22" t="s">
        <v>101</v>
      </c>
      <c r="C37" s="22" t="s">
        <v>5</v>
      </c>
      <c r="D37" s="22" t="s">
        <v>102</v>
      </c>
      <c r="E37" s="22" t="s">
        <v>103</v>
      </c>
      <c r="F37" s="22" t="s">
        <v>53</v>
      </c>
      <c r="G37" s="22" t="s">
        <v>104</v>
      </c>
      <c r="H37" s="25">
        <v>4000.0</v>
      </c>
      <c r="I37" s="25">
        <v>4000.0</v>
      </c>
      <c r="J37" s="22"/>
      <c r="K37" s="25">
        <v>4000.0</v>
      </c>
      <c r="L37" s="25">
        <v>0</v>
      </c>
    </row>
    <row r="38" spans="2:12" ht="16">
      <c r="B38" s="22" t="s">
        <v>73</v>
      </c>
      <c r="C38" s="22" t="s">
        <v>5</v>
      </c>
      <c r="D38" s="22" t="s">
        <v>105</v>
      </c>
      <c r="E38" s="22" t="s">
        <v>106</v>
      </c>
      <c r="F38" s="22" t="s">
        <v>45</v>
      </c>
      <c r="G38" s="22" t="s">
        <v>107</v>
      </c>
      <c r="H38" s="25">
        <v>4000.0</v>
      </c>
      <c r="I38" s="25">
        <v>4000.0</v>
      </c>
      <c r="J38" s="22"/>
      <c r="K38" s="25">
        <v>4000.0</v>
      </c>
      <c r="L38" s="25">
        <v>0</v>
      </c>
    </row>
    <row r="39" spans="2:12" ht="16">
      <c r="B39" s="22" t="s">
        <v>73</v>
      </c>
      <c r="C39" s="22" t="s">
        <v>5</v>
      </c>
      <c r="D39" s="22" t="s">
        <v>108</v>
      </c>
      <c r="E39" s="22" t="s">
        <v>109</v>
      </c>
      <c r="F39" s="22" t="s">
        <v>35</v>
      </c>
      <c r="G39" s="22" t="s">
        <v>107</v>
      </c>
      <c r="H39" s="25">
        <v>22320.0</v>
      </c>
      <c r="I39" s="25">
        <v>22320.0</v>
      </c>
      <c r="J39" s="22"/>
      <c r="K39" s="25">
        <v>22320.0</v>
      </c>
      <c r="L39" s="25">
        <v>0</v>
      </c>
    </row>
    <row r="40" spans="2:12" ht="16">
      <c r="B40" s="22" t="s">
        <v>110</v>
      </c>
      <c r="C40" s="22" t="s">
        <v>5</v>
      </c>
      <c r="D40" s="22" t="s">
        <v>111</v>
      </c>
      <c r="E40" s="22" t="s">
        <v>83</v>
      </c>
      <c r="F40" s="22" t="s">
        <v>94</v>
      </c>
      <c r="G40" s="22" t="s">
        <v>112</v>
      </c>
      <c r="H40" s="25">
        <v>5771.75</v>
      </c>
      <c r="I40" s="25">
        <v>5771.75</v>
      </c>
      <c r="J40" s="22"/>
      <c r="K40" s="25">
        <v>5771.75</v>
      </c>
      <c r="L40" s="25">
        <v>0</v>
      </c>
    </row>
    <row r="41" spans="2:12" ht="16">
      <c r="B41" s="22" t="s">
        <v>113</v>
      </c>
      <c r="C41" s="22" t="s">
        <v>5</v>
      </c>
      <c r="D41" s="22" t="s">
        <v>114</v>
      </c>
      <c r="E41" s="22" t="s">
        <v>83</v>
      </c>
      <c r="F41" s="22" t="s">
        <v>53</v>
      </c>
      <c r="G41" s="22" t="s">
        <v>115</v>
      </c>
      <c r="H41" s="25">
        <v>6500.0</v>
      </c>
      <c r="I41" s="25">
        <v>6500.0</v>
      </c>
      <c r="J41" s="22"/>
      <c r="K41" s="25">
        <v>6500.0</v>
      </c>
      <c r="L41" s="25">
        <v>0</v>
      </c>
    </row>
    <row r="42" spans="2:12" ht="16">
      <c r="B42" s="22" t="s">
        <v>113</v>
      </c>
      <c r="C42" s="22" t="s">
        <v>5</v>
      </c>
      <c r="D42" s="22" t="s">
        <v>116</v>
      </c>
      <c r="E42" s="22" t="s">
        <v>117</v>
      </c>
      <c r="F42" s="22" t="s">
        <v>94</v>
      </c>
      <c r="G42" s="22" t="s">
        <v>115</v>
      </c>
      <c r="H42" s="25">
        <v>18463.6</v>
      </c>
      <c r="I42" s="25">
        <v>18463.6</v>
      </c>
      <c r="J42" s="22"/>
      <c r="K42" s="22"/>
      <c r="L42" s="22"/>
    </row>
    <row r="43" spans="2:12" ht="16">
      <c r="B43" s="22" t="s">
        <v>118</v>
      </c>
      <c r="C43" s="22" t="s">
        <v>5</v>
      </c>
      <c r="D43" s="22" t="s">
        <v>119</v>
      </c>
      <c r="E43" s="22" t="s">
        <v>120</v>
      </c>
      <c r="F43" s="22" t="s">
        <v>94</v>
      </c>
      <c r="G43" s="22" t="s">
        <v>121</v>
      </c>
      <c r="H43" s="25">
        <v>7355.6</v>
      </c>
      <c r="I43" s="25">
        <v>7355.6</v>
      </c>
      <c r="J43" s="22"/>
      <c r="K43" s="25">
        <v>7355.6</v>
      </c>
      <c r="L43" s="25">
        <v>0</v>
      </c>
    </row>
    <row r="44" spans="2:12" ht="16">
      <c r="B44" s="22" t="s">
        <v>122</v>
      </c>
      <c r="C44" s="22" t="s">
        <v>5</v>
      </c>
      <c r="D44" s="22" t="s">
        <v>123</v>
      </c>
      <c r="E44" s="22" t="s">
        <v>124</v>
      </c>
      <c r="F44" s="22" t="s">
        <v>94</v>
      </c>
      <c r="G44" s="22" t="s">
        <v>125</v>
      </c>
      <c r="H44" s="25">
        <v>9461.1</v>
      </c>
      <c r="I44" s="25">
        <v>9461.1</v>
      </c>
      <c r="J44" s="22"/>
      <c r="K44" s="25">
        <v>9461.1</v>
      </c>
      <c r="L44" s="25">
        <v>0</v>
      </c>
    </row>
    <row r="45" spans="2:12" ht="16">
      <c r="B45" s="22" t="s">
        <v>126</v>
      </c>
      <c r="C45" s="22" t="s">
        <v>5</v>
      </c>
      <c r="D45" s="22" t="s">
        <v>127</v>
      </c>
      <c r="E45" s="22" t="s">
        <v>128</v>
      </c>
      <c r="F45" s="22" t="s">
        <v>77</v>
      </c>
      <c r="G45" s="22" t="s">
        <v>129</v>
      </c>
      <c r="H45" s="25">
        <v>1761.39</v>
      </c>
      <c r="I45" s="25">
        <v>1761.39</v>
      </c>
      <c r="J45" s="22"/>
      <c r="K45" s="22"/>
      <c r="L45" s="22"/>
    </row>
    <row r="46" spans="2:12" ht="16">
      <c r="B46" s="22" t="s">
        <v>130</v>
      </c>
      <c r="C46" s="22" t="s">
        <v>5</v>
      </c>
      <c r="D46" s="22" t="s">
        <v>131</v>
      </c>
      <c r="E46" s="22" t="s">
        <v>132</v>
      </c>
      <c r="F46" s="22" t="s">
        <v>94</v>
      </c>
      <c r="G46" s="22" t="s">
        <v>133</v>
      </c>
      <c r="H46" s="25">
        <v>15840.09</v>
      </c>
      <c r="I46" s="25">
        <v>15840.09</v>
      </c>
      <c r="J46" s="22"/>
      <c r="K46" s="25">
        <v>15840.09</v>
      </c>
      <c r="L46" s="25">
        <v>0</v>
      </c>
    </row>
    <row r="47" spans="2:12" ht="16">
      <c r="B47" s="22" t="s">
        <v>134</v>
      </c>
      <c r="C47" s="22" t="s">
        <v>5</v>
      </c>
      <c r="D47" s="22" t="s">
        <v>135</v>
      </c>
      <c r="E47" s="22" t="s">
        <v>136</v>
      </c>
      <c r="F47" s="22" t="s">
        <v>77</v>
      </c>
      <c r="G47" s="22" t="s">
        <v>137</v>
      </c>
      <c r="H47" s="25">
        <v>4084.28</v>
      </c>
      <c r="I47" s="25">
        <v>4084.28</v>
      </c>
      <c r="J47" s="22"/>
      <c r="K47" s="22"/>
      <c r="L47" s="22"/>
    </row>
    <row r="48" spans="2:12" ht="16">
      <c r="B48" s="22" t="s">
        <v>134</v>
      </c>
      <c r="C48" s="22" t="s">
        <v>5</v>
      </c>
      <c r="D48" s="22" t="s">
        <v>138</v>
      </c>
      <c r="E48" s="22" t="s">
        <v>139</v>
      </c>
      <c r="F48" s="22" t="s">
        <v>140</v>
      </c>
      <c r="G48" s="22" t="s">
        <v>137</v>
      </c>
      <c r="H48" s="25">
        <v>1756.23</v>
      </c>
      <c r="I48" s="25">
        <v>1756.23</v>
      </c>
      <c r="J48" s="22"/>
      <c r="K48" s="25">
        <v>1756.23</v>
      </c>
      <c r="L48" s="25">
        <v>0</v>
      </c>
    </row>
    <row r="49" spans="2:12" ht="16">
      <c r="B49" s="22" t="s">
        <v>134</v>
      </c>
      <c r="C49" s="22" t="s">
        <v>5</v>
      </c>
      <c r="D49" s="22" t="s">
        <v>141</v>
      </c>
      <c r="E49" s="22" t="s">
        <v>142</v>
      </c>
      <c r="F49" s="22" t="s">
        <v>140</v>
      </c>
      <c r="G49" s="22" t="s">
        <v>137</v>
      </c>
      <c r="H49" s="25">
        <v>1756.71</v>
      </c>
      <c r="I49" s="25">
        <v>1756.71</v>
      </c>
      <c r="J49" s="22"/>
      <c r="K49" s="22"/>
      <c r="L49" s="22"/>
    </row>
    <row r="50" spans="1:12" ht="16">
      <c r="A50" s="32" t="s">
        <v>143</v>
      </c>
      <c r="H50" s="26">
        <f>H7+H8+H9+H10+H11+H12+H13+H14+H15+H16+H17+H18+H19+H20+H21+H22+H23+H24+H25+H26+H27+H28+H29+H30+H31+H32+H33+H34+H35+H36+H37+H38+H39+H40+H41+H42+H43+H44+H45+H46+H47+H48+H49</f>
        <v>392642.05</v>
      </c>
      <c r="I50" s="26">
        <f>I7+I8+I9+I10+I11+I12+I13+I14+I15+I16+I17+I18+I19+I20+I21+I22+I23+I24+I25+I26+I27+I28+I29+I30+I31+I32+I33+I34+I35+I36+I37+I38+I39+I40+I41+I42+I43+I44+I45+I46+I47+I48+I49</f>
        <v>409785.1</v>
      </c>
      <c r="K50" s="26">
        <f>K7+K8+K9+K10+K11+K12+K13+K14+K15+K16+K17+K18+K19+K20+K21+K22+K23+K24+K25+K26+K27+K28+K29+K30+K31+K32+K33+K34+K35+K36+K37+K38+K39+K40+K41+K42+K43+K44+K45+K46+K47+K48+K49</f>
        <v>368112.94</v>
      </c>
      <c r="L50" s="26">
        <f>L7+L8+L9+L10+L11+L12+L13+L14+L15+L16+L17+L18+L19+L20+L21+L22+L23+L24+L25+L26+L27+L28+L29+L30+L31+L32+L33+L34+L35+L36+L37+L38+L39+L40+L41+L42+L43+L44+L45+L46+L47+L48+L49</f>
        <v>0.0</v>
      </c>
    </row>
    <row r="51" spans="1:1" ht="16">
      <c r="A51" s="31" t="s">
        <v>144</v>
      </c>
    </row>
    <row r="52" spans="2:12" ht="16">
      <c r="B52" s="22" t="s">
        <v>145</v>
      </c>
      <c r="C52" s="22" t="s">
        <v>5</v>
      </c>
      <c r="D52" s="22" t="s">
        <v>146</v>
      </c>
      <c r="E52" s="22" t="s">
        <v>44</v>
      </c>
      <c r="F52" s="22" t="s">
        <v>72</v>
      </c>
      <c r="G52" s="22" t="s">
        <v>147</v>
      </c>
      <c r="H52" s="25">
        <v>8000.0</v>
      </c>
      <c r="I52" s="25">
        <v>8000.0</v>
      </c>
      <c r="J52" s="22"/>
      <c r="K52" s="25">
        <v>8000.0</v>
      </c>
      <c r="L52" s="27">
        <v>0</v>
      </c>
    </row>
    <row r="53" spans="2:12" ht="16">
      <c r="B53" s="22" t="s">
        <v>125</v>
      </c>
      <c r="C53" s="22" t="s">
        <v>5</v>
      </c>
      <c r="D53" s="22" t="s">
        <v>148</v>
      </c>
      <c r="E53" s="22" t="s">
        <v>149</v>
      </c>
      <c r="F53" s="22" t="s">
        <v>94</v>
      </c>
      <c r="G53" s="22" t="s">
        <v>150</v>
      </c>
      <c r="H53" s="25">
        <v>10407.26</v>
      </c>
      <c r="I53" s="25">
        <v>4912.26</v>
      </c>
      <c r="J53" s="22"/>
      <c r="K53" s="25">
        <v>4912.26</v>
      </c>
      <c r="L53" s="27">
        <v>0</v>
      </c>
    </row>
    <row r="54" spans="2:12" ht="16">
      <c r="B54" s="22" t="s">
        <v>151</v>
      </c>
      <c r="C54" s="22" t="s">
        <v>5</v>
      </c>
      <c r="D54" s="22" t="s">
        <v>152</v>
      </c>
      <c r="E54" s="22" t="s">
        <v>153</v>
      </c>
      <c r="F54" s="22" t="s">
        <v>94</v>
      </c>
      <c r="G54" s="22" t="s">
        <v>154</v>
      </c>
      <c r="H54" s="25">
        <v>15847.58</v>
      </c>
      <c r="I54" s="25">
        <v>15847.58</v>
      </c>
      <c r="J54" s="22"/>
      <c r="K54" s="25">
        <v>15847.58</v>
      </c>
      <c r="L54" s="27">
        <v>0</v>
      </c>
    </row>
    <row r="55" spans="2:12" ht="16">
      <c r="B55" s="22" t="s">
        <v>155</v>
      </c>
      <c r="C55" s="22" t="s">
        <v>5</v>
      </c>
      <c r="D55" s="22" t="s">
        <v>156</v>
      </c>
      <c r="E55" s="22" t="s">
        <v>157</v>
      </c>
      <c r="F55" s="22" t="s">
        <v>140</v>
      </c>
      <c r="G55" s="22" t="s">
        <v>158</v>
      </c>
      <c r="H55" s="25">
        <v>1751.72</v>
      </c>
      <c r="I55" s="25">
        <v>1751.72</v>
      </c>
      <c r="J55" s="22"/>
      <c r="K55" s="22"/>
      <c r="L55" s="22"/>
    </row>
    <row r="56" spans="2:12" ht="16">
      <c r="B56" s="22" t="s">
        <v>159</v>
      </c>
      <c r="C56" s="22" t="s">
        <v>5</v>
      </c>
      <c r="D56" s="22" t="s">
        <v>160</v>
      </c>
      <c r="E56" s="22" t="s">
        <v>161</v>
      </c>
      <c r="F56" s="22" t="s">
        <v>77</v>
      </c>
      <c r="G56" s="22" t="s">
        <v>162</v>
      </c>
      <c r="H56" s="25">
        <v>1737.1</v>
      </c>
      <c r="I56" s="25">
        <v>1737.1</v>
      </c>
      <c r="J56" s="22"/>
      <c r="K56" s="22"/>
      <c r="L56" s="22"/>
    </row>
    <row r="57" spans="2:12" ht="16">
      <c r="B57" s="22" t="s">
        <v>163</v>
      </c>
      <c r="C57" s="22" t="s">
        <v>5</v>
      </c>
      <c r="D57" s="22" t="s">
        <v>164</v>
      </c>
      <c r="E57" s="22" t="s">
        <v>165</v>
      </c>
      <c r="F57" s="22" t="s">
        <v>8</v>
      </c>
      <c r="G57" s="22" t="s">
        <v>166</v>
      </c>
      <c r="H57" s="25">
        <v>7500.0</v>
      </c>
      <c r="I57" s="25">
        <v>7500.0</v>
      </c>
      <c r="J57" s="22"/>
      <c r="K57" s="25">
        <v>7500.0</v>
      </c>
      <c r="L57" s="27">
        <v>0</v>
      </c>
    </row>
    <row r="58" spans="2:12" ht="16">
      <c r="B58" s="22" t="s">
        <v>167</v>
      </c>
      <c r="C58" s="22" t="s">
        <v>5</v>
      </c>
      <c r="D58" s="22" t="s">
        <v>168</v>
      </c>
      <c r="E58" s="22" t="s">
        <v>169</v>
      </c>
      <c r="F58" s="22" t="s">
        <v>140</v>
      </c>
      <c r="G58" s="22" t="s">
        <v>170</v>
      </c>
      <c r="H58" s="25">
        <v>4634.72</v>
      </c>
      <c r="I58" s="25">
        <v>4634.72</v>
      </c>
      <c r="J58" s="22"/>
      <c r="K58" s="22"/>
      <c r="L58" s="22"/>
    </row>
    <row r="59" spans="2:12" ht="16">
      <c r="B59" s="22" t="s">
        <v>137</v>
      </c>
      <c r="C59" s="22" t="s">
        <v>5</v>
      </c>
      <c r="D59" s="22" t="s">
        <v>171</v>
      </c>
      <c r="E59" s="22" t="s">
        <v>172</v>
      </c>
      <c r="F59" s="22" t="s">
        <v>140</v>
      </c>
      <c r="G59" s="22" t="s">
        <v>173</v>
      </c>
      <c r="H59" s="25">
        <v>1747.76</v>
      </c>
      <c r="I59" s="25">
        <v>1747.76</v>
      </c>
      <c r="J59" s="22"/>
      <c r="K59" s="22"/>
      <c r="L59" s="22"/>
    </row>
    <row r="60" spans="2:12" ht="16">
      <c r="B60" s="22" t="s">
        <v>174</v>
      </c>
      <c r="C60" s="22" t="s">
        <v>5</v>
      </c>
      <c r="D60" s="22" t="s">
        <v>175</v>
      </c>
      <c r="E60" s="22" t="s">
        <v>176</v>
      </c>
      <c r="F60" s="22" t="s">
        <v>8</v>
      </c>
      <c r="G60" s="22" t="s">
        <v>177</v>
      </c>
      <c r="H60" s="25">
        <v>35000.0</v>
      </c>
      <c r="I60" s="25">
        <v>35000.0</v>
      </c>
      <c r="J60" s="22"/>
      <c r="K60" s="25">
        <v>35000.0</v>
      </c>
      <c r="L60" s="27">
        <v>0</v>
      </c>
    </row>
    <row r="61" spans="1:12" ht="16">
      <c r="A61" s="32" t="s">
        <v>178</v>
      </c>
      <c r="H61" s="26">
        <f>H52+H53+H54+H55+H56+H57+H58+H59+H60</f>
        <v>86626.14000000001</v>
      </c>
      <c r="I61" s="26">
        <f>I52+I53+I54+I55+I56+I57+I58+I59+I60</f>
        <v>81131.14000000001</v>
      </c>
      <c r="K61" s="26">
        <f>K52+K53+K54+K55+K56+K57+K58+K59+K60</f>
        <v>71259.84</v>
      </c>
      <c r="L61" s="26">
        <f>L52+L53+L54+L55+L56+L57+L58+L59+L60</f>
        <v>0.0</v>
      </c>
    </row>
    <row r="62" spans="1:1" ht="16">
      <c r="A62" s="31" t="s">
        <v>179</v>
      </c>
    </row>
    <row r="63" spans="2:12" ht="16">
      <c r="B63" s="22" t="s">
        <v>180</v>
      </c>
      <c r="C63" s="22" t="s">
        <v>5</v>
      </c>
      <c r="D63" s="22" t="s">
        <v>181</v>
      </c>
      <c r="E63" s="22" t="s">
        <v>182</v>
      </c>
      <c r="F63" s="22" t="s">
        <v>77</v>
      </c>
      <c r="G63" s="22" t="s">
        <v>183</v>
      </c>
      <c r="H63" s="25">
        <v>6965.83</v>
      </c>
      <c r="I63" s="25">
        <v>6965.83</v>
      </c>
      <c r="J63" s="22"/>
      <c r="K63" s="22"/>
      <c r="L63" s="22"/>
    </row>
    <row r="64" spans="2:12" ht="16">
      <c r="B64" s="22" t="s">
        <v>180</v>
      </c>
      <c r="C64" s="22" t="s">
        <v>5</v>
      </c>
      <c r="D64" s="22" t="s">
        <v>184</v>
      </c>
      <c r="E64" s="22" t="s">
        <v>185</v>
      </c>
      <c r="F64" s="22" t="s">
        <v>77</v>
      </c>
      <c r="G64" s="22" t="s">
        <v>183</v>
      </c>
      <c r="H64" s="25">
        <v>6957.98</v>
      </c>
      <c r="I64" s="25">
        <v>6957.98</v>
      </c>
      <c r="J64" s="22"/>
      <c r="K64" s="22"/>
      <c r="L64" s="22"/>
    </row>
    <row r="65" spans="2:12" ht="16">
      <c r="B65" s="22" t="s">
        <v>158</v>
      </c>
      <c r="C65" s="22" t="s">
        <v>5</v>
      </c>
      <c r="D65" s="22" t="s">
        <v>186</v>
      </c>
      <c r="E65" s="22" t="s">
        <v>83</v>
      </c>
      <c r="F65" s="22" t="s">
        <v>72</v>
      </c>
      <c r="G65" s="22" t="s">
        <v>187</v>
      </c>
      <c r="H65" s="25">
        <v>8000.0</v>
      </c>
      <c r="I65" s="25">
        <v>8000.0</v>
      </c>
      <c r="J65" s="22"/>
      <c r="K65" s="25">
        <v>8000.0</v>
      </c>
      <c r="L65" s="27">
        <v>0</v>
      </c>
    </row>
    <row r="66" spans="2:12" ht="16">
      <c r="B66" s="22" t="s">
        <v>188</v>
      </c>
      <c r="C66" s="22" t="s">
        <v>5</v>
      </c>
      <c r="D66" s="22" t="s">
        <v>189</v>
      </c>
      <c r="E66" s="22" t="s">
        <v>190</v>
      </c>
      <c r="F66" s="22" t="s">
        <v>140</v>
      </c>
      <c r="G66" s="22" t="s">
        <v>191</v>
      </c>
      <c r="H66" s="25">
        <v>1736.31</v>
      </c>
      <c r="I66" s="25">
        <v>209.34</v>
      </c>
      <c r="J66" s="22"/>
      <c r="K66" s="22"/>
      <c r="L66" s="22"/>
    </row>
    <row r="67" spans="1:12" ht="16">
      <c r="A67" s="32" t="s">
        <v>192</v>
      </c>
      <c r="H67" s="26">
        <f>H63+H64+H65+H66</f>
        <v>23660.12</v>
      </c>
      <c r="I67" s="26">
        <f>I63+I64+I65+I66</f>
        <v>22133.149999999998</v>
      </c>
      <c r="K67" s="26">
        <f>K63+K64+K65+K66</f>
        <v>8000.0</v>
      </c>
      <c r="L67" s="26">
        <f>L63+L64+L65+L66</f>
        <v>0.0</v>
      </c>
    </row>
    <row r="68" spans="1:1" ht="16">
      <c r="A68" s="31" t="s">
        <v>193</v>
      </c>
    </row>
    <row r="69" spans="2:12" ht="16">
      <c r="B69" s="22" t="s">
        <v>194</v>
      </c>
      <c r="C69" s="22" t="s">
        <v>5</v>
      </c>
      <c r="D69" s="22" t="s">
        <v>195</v>
      </c>
      <c r="E69" s="22" t="s">
        <v>196</v>
      </c>
      <c r="F69" s="22" t="s">
        <v>77</v>
      </c>
      <c r="G69" s="22" t="s">
        <v>197</v>
      </c>
      <c r="H69" s="25">
        <v>6848.92</v>
      </c>
      <c r="I69" s="25">
        <v>104.78</v>
      </c>
      <c r="J69" s="22"/>
      <c r="K69" s="22"/>
      <c r="L69" s="22"/>
    </row>
    <row r="70" spans="2:12" ht="16">
      <c r="B70" s="22" t="s">
        <v>198</v>
      </c>
      <c r="C70" s="22" t="s">
        <v>5</v>
      </c>
      <c r="D70" s="22" t="s">
        <v>199</v>
      </c>
      <c r="E70" s="22" t="s">
        <v>200</v>
      </c>
      <c r="F70" s="22" t="s">
        <v>49</v>
      </c>
      <c r="G70" s="22" t="s">
        <v>201</v>
      </c>
      <c r="H70" s="25">
        <v>2280.37</v>
      </c>
      <c r="I70" s="25">
        <v>2280.37</v>
      </c>
      <c r="J70" s="22"/>
      <c r="K70" s="25">
        <v>2280.37</v>
      </c>
      <c r="L70" s="27">
        <v>0</v>
      </c>
    </row>
    <row r="71" spans="2:12" ht="16">
      <c r="B71" s="22" t="s">
        <v>198</v>
      </c>
      <c r="C71" s="22" t="s">
        <v>5</v>
      </c>
      <c r="D71" s="22" t="s">
        <v>202</v>
      </c>
      <c r="E71" s="22" t="s">
        <v>200</v>
      </c>
      <c r="F71" s="22" t="s">
        <v>203</v>
      </c>
      <c r="G71" s="22" t="s">
        <v>201</v>
      </c>
      <c r="H71" s="25">
        <v>8000.0</v>
      </c>
      <c r="I71" s="25">
        <v>8000.0</v>
      </c>
      <c r="J71" s="22"/>
      <c r="K71" s="25">
        <v>8000.0</v>
      </c>
      <c r="L71" s="27">
        <v>0</v>
      </c>
    </row>
    <row r="72" spans="2:12" ht="16">
      <c r="B72" s="22" t="s">
        <v>204</v>
      </c>
      <c r="C72" s="22" t="s">
        <v>5</v>
      </c>
      <c r="D72" s="22" t="s">
        <v>205</v>
      </c>
      <c r="E72" s="22" t="s">
        <v>206</v>
      </c>
      <c r="F72" s="22" t="s">
        <v>203</v>
      </c>
      <c r="G72" s="22" t="s">
        <v>207</v>
      </c>
      <c r="H72" s="25">
        <v>19110.0</v>
      </c>
      <c r="I72" s="25">
        <v>40.0</v>
      </c>
      <c r="J72" s="22"/>
      <c r="K72" s="25">
        <v>40.0</v>
      </c>
      <c r="L72" s="27">
        <v>0</v>
      </c>
    </row>
    <row r="73" spans="2:12" ht="16">
      <c r="B73" s="22" t="s">
        <v>208</v>
      </c>
      <c r="C73" s="22" t="s">
        <v>5</v>
      </c>
      <c r="D73" s="22" t="s">
        <v>209</v>
      </c>
      <c r="E73" s="22" t="s">
        <v>210</v>
      </c>
      <c r="F73" s="22" t="s">
        <v>77</v>
      </c>
      <c r="G73" s="22" t="s">
        <v>211</v>
      </c>
      <c r="H73" s="25">
        <v>1707.09</v>
      </c>
      <c r="I73" s="25">
        <v>1707.09</v>
      </c>
      <c r="J73" s="22"/>
      <c r="K73" s="22"/>
      <c r="L73" s="22"/>
    </row>
    <row r="74" spans="2:12" ht="16">
      <c r="B74" s="22" t="s">
        <v>212</v>
      </c>
      <c r="C74" s="22" t="s">
        <v>5</v>
      </c>
      <c r="D74" s="22" t="s">
        <v>213</v>
      </c>
      <c r="E74" s="22" t="s">
        <v>44</v>
      </c>
      <c r="F74" s="22" t="s">
        <v>40</v>
      </c>
      <c r="G74" s="22" t="s">
        <v>214</v>
      </c>
      <c r="H74" s="25">
        <v>25000.0</v>
      </c>
      <c r="I74" s="25">
        <v>5000.0</v>
      </c>
      <c r="J74" s="22"/>
      <c r="K74" s="25">
        <v>5000.0</v>
      </c>
      <c r="L74" s="27">
        <v>0</v>
      </c>
    </row>
    <row r="75" spans="2:12" ht="16">
      <c r="B75" s="22" t="s">
        <v>215</v>
      </c>
      <c r="C75" s="22" t="s">
        <v>5</v>
      </c>
      <c r="D75" s="22" t="s">
        <v>216</v>
      </c>
      <c r="E75" s="22" t="s">
        <v>217</v>
      </c>
      <c r="F75" s="22" t="s">
        <v>203</v>
      </c>
      <c r="G75" s="22" t="s">
        <v>215</v>
      </c>
      <c r="H75" s="25">
        <v>4000.0</v>
      </c>
      <c r="I75" s="25">
        <v>4000.0</v>
      </c>
      <c r="J75" s="22"/>
      <c r="K75" s="25">
        <v>4000.0</v>
      </c>
      <c r="L75" s="27">
        <v>0</v>
      </c>
    </row>
    <row r="76" spans="2:12" ht="16">
      <c r="B76" s="22" t="s">
        <v>218</v>
      </c>
      <c r="C76" s="22" t="s">
        <v>5</v>
      </c>
      <c r="D76" s="22" t="s">
        <v>219</v>
      </c>
      <c r="E76" s="22" t="s">
        <v>220</v>
      </c>
      <c r="F76" s="22" t="s">
        <v>77</v>
      </c>
      <c r="G76" s="22" t="s">
        <v>221</v>
      </c>
      <c r="H76" s="25">
        <v>2844.18</v>
      </c>
      <c r="I76" s="25">
        <v>2844.18</v>
      </c>
      <c r="J76" s="22"/>
      <c r="K76" s="22"/>
      <c r="L76" s="22"/>
    </row>
    <row r="77" spans="2:12" ht="16">
      <c r="B77" s="22" t="s">
        <v>222</v>
      </c>
      <c r="C77" s="22" t="s">
        <v>5</v>
      </c>
      <c r="D77" s="22" t="s">
        <v>223</v>
      </c>
      <c r="E77" s="22" t="s">
        <v>224</v>
      </c>
      <c r="F77" s="22" t="s">
        <v>35</v>
      </c>
      <c r="G77" s="22" t="s">
        <v>225</v>
      </c>
      <c r="H77" s="25">
        <v>6500.0</v>
      </c>
      <c r="I77" s="25">
        <v>6500.0</v>
      </c>
      <c r="J77" s="22"/>
      <c r="K77" s="25">
        <v>6500.0</v>
      </c>
      <c r="L77" s="27">
        <v>0</v>
      </c>
    </row>
    <row r="78" spans="2:12" ht="16">
      <c r="B78" s="22" t="s">
        <v>226</v>
      </c>
      <c r="C78" s="22" t="s">
        <v>5</v>
      </c>
      <c r="D78" s="22" t="s">
        <v>227</v>
      </c>
      <c r="E78" s="22" t="s">
        <v>228</v>
      </c>
      <c r="F78" s="22" t="s">
        <v>203</v>
      </c>
      <c r="G78" s="22" t="s">
        <v>229</v>
      </c>
      <c r="H78" s="25">
        <v>19500.0</v>
      </c>
      <c r="I78" s="25">
        <v>19500.0</v>
      </c>
      <c r="J78" s="22"/>
      <c r="K78" s="25">
        <v>19500.0</v>
      </c>
      <c r="L78" s="27">
        <v>0</v>
      </c>
    </row>
    <row r="79" spans="1:12" ht="16">
      <c r="A79" s="32" t="s">
        <v>230</v>
      </c>
      <c r="H79" s="26">
        <f>H69+H70+H71+H72+H73+H74+H75+H76+H77+H78</f>
        <v>95790.56</v>
      </c>
      <c r="I79" s="26">
        <f>I69+I70+I71+I72+I73+I74+I75+I76+I77+I78</f>
        <v>49976.42</v>
      </c>
      <c r="K79" s="26">
        <f>K69+K70+K71+K72+K73+K74+K75+K76+K77+K78</f>
        <v>45320.369999999995</v>
      </c>
      <c r="L79" s="26">
        <f>L69+L70+L71+L72+L73+L74+L75+L76+L77+L78</f>
        <v>0.0</v>
      </c>
    </row>
    <row r="80" spans="1:1" ht="16">
      <c r="A80" s="31" t="s">
        <v>231</v>
      </c>
    </row>
    <row r="81" spans="2:12" ht="16">
      <c r="B81" s="22" t="s">
        <v>232</v>
      </c>
      <c r="C81" s="22" t="s">
        <v>93</v>
      </c>
      <c r="D81" s="22" t="s">
        <v>40</v>
      </c>
      <c r="E81" s="22" t="s">
        <v>233</v>
      </c>
      <c r="F81" s="22" t="s">
        <v>203</v>
      </c>
      <c r="G81" s="22" t="s">
        <v>232</v>
      </c>
      <c r="H81" s="25">
        <v>-19500.0</v>
      </c>
      <c r="I81" s="25">
        <v>-19500.0</v>
      </c>
      <c r="J81" s="22"/>
      <c r="K81" s="25">
        <v>-19500.0</v>
      </c>
      <c r="L81" s="27">
        <v>0</v>
      </c>
    </row>
    <row r="82" spans="2:12" ht="16">
      <c r="B82" s="22" t="s">
        <v>234</v>
      </c>
      <c r="C82" s="22" t="s">
        <v>5</v>
      </c>
      <c r="D82" s="22" t="s">
        <v>235</v>
      </c>
      <c r="E82" s="22" t="s">
        <v>236</v>
      </c>
      <c r="F82" s="22" t="s">
        <v>77</v>
      </c>
      <c r="G82" s="22" t="s">
        <v>237</v>
      </c>
      <c r="H82" s="25">
        <v>2882.06</v>
      </c>
      <c r="I82" s="25">
        <v>112.09</v>
      </c>
      <c r="J82" s="22"/>
      <c r="K82" s="22"/>
      <c r="L82" s="22"/>
    </row>
    <row r="83" spans="2:12" ht="16">
      <c r="B83" s="22" t="s">
        <v>234</v>
      </c>
      <c r="C83" s="22" t="s">
        <v>5</v>
      </c>
      <c r="D83" s="22" t="s">
        <v>238</v>
      </c>
      <c r="E83" s="22" t="s">
        <v>239</v>
      </c>
      <c r="F83" s="22" t="s">
        <v>77</v>
      </c>
      <c r="G83" s="22" t="s">
        <v>237</v>
      </c>
      <c r="H83" s="25">
        <v>4037.2</v>
      </c>
      <c r="I83" s="25">
        <v>4037.2</v>
      </c>
      <c r="J83" s="22"/>
      <c r="K83" s="22"/>
      <c r="L83" s="22"/>
    </row>
    <row r="84" spans="2:12" ht="16">
      <c r="B84" s="22" t="s">
        <v>240</v>
      </c>
      <c r="C84" s="22" t="s">
        <v>5</v>
      </c>
      <c r="D84" s="22" t="s">
        <v>241</v>
      </c>
      <c r="E84" s="22" t="s">
        <v>242</v>
      </c>
      <c r="F84" s="22" t="s">
        <v>203</v>
      </c>
      <c r="G84" s="22" t="s">
        <v>243</v>
      </c>
      <c r="H84" s="25">
        <v>23100.0</v>
      </c>
      <c r="I84" s="25">
        <v>23100.0</v>
      </c>
      <c r="J84" s="22"/>
      <c r="K84" s="25">
        <v>23100.0</v>
      </c>
      <c r="L84" s="27">
        <v>0</v>
      </c>
    </row>
    <row r="85" spans="2:12" ht="16">
      <c r="B85" s="22" t="s">
        <v>240</v>
      </c>
      <c r="C85" s="22" t="s">
        <v>5</v>
      </c>
      <c r="D85" s="22" t="s">
        <v>244</v>
      </c>
      <c r="E85" s="22" t="s">
        <v>242</v>
      </c>
      <c r="F85" s="22" t="s">
        <v>245</v>
      </c>
      <c r="G85" s="22" t="s">
        <v>243</v>
      </c>
      <c r="H85" s="25">
        <v>3000.0</v>
      </c>
      <c r="I85" s="25">
        <v>3000.0</v>
      </c>
      <c r="J85" s="22"/>
      <c r="K85" s="25">
        <v>3000.0</v>
      </c>
      <c r="L85" s="27">
        <v>0</v>
      </c>
    </row>
    <row r="86" spans="2:12" ht="16">
      <c r="B86" s="22" t="s">
        <v>211</v>
      </c>
      <c r="C86" s="22" t="s">
        <v>5</v>
      </c>
      <c r="D86" s="22" t="s">
        <v>246</v>
      </c>
      <c r="E86" s="22" t="s">
        <v>247</v>
      </c>
      <c r="F86" s="22" t="s">
        <v>35</v>
      </c>
      <c r="G86" s="22" t="s">
        <v>248</v>
      </c>
      <c r="H86" s="25">
        <v>2850.0</v>
      </c>
      <c r="I86" s="25">
        <v>2850.0</v>
      </c>
      <c r="J86" s="22"/>
      <c r="K86" s="25">
        <v>2850.0</v>
      </c>
      <c r="L86" s="27">
        <v>0</v>
      </c>
    </row>
    <row r="87" spans="2:12" ht="16">
      <c r="B87" s="22" t="s">
        <v>211</v>
      </c>
      <c r="C87" s="22" t="s">
        <v>5</v>
      </c>
      <c r="D87" s="22" t="s">
        <v>249</v>
      </c>
      <c r="E87" s="22" t="s">
        <v>250</v>
      </c>
      <c r="F87" s="22" t="s">
        <v>203</v>
      </c>
      <c r="G87" s="22" t="s">
        <v>248</v>
      </c>
      <c r="H87" s="25">
        <v>24000.0</v>
      </c>
      <c r="I87" s="25">
        <v>24000.0</v>
      </c>
      <c r="J87" s="22"/>
      <c r="K87" s="25">
        <v>24000.0</v>
      </c>
      <c r="L87" s="27">
        <v>0</v>
      </c>
    </row>
    <row r="88" spans="2:12" ht="16">
      <c r="B88" s="22" t="s">
        <v>251</v>
      </c>
      <c r="C88" s="22" t="s">
        <v>5</v>
      </c>
      <c r="D88" s="22" t="s">
        <v>252</v>
      </c>
      <c r="E88" s="22" t="s">
        <v>253</v>
      </c>
      <c r="F88" s="22" t="s">
        <v>203</v>
      </c>
      <c r="G88" s="22" t="s">
        <v>254</v>
      </c>
      <c r="H88" s="25">
        <v>24000.0</v>
      </c>
      <c r="I88" s="25">
        <v>24000.0</v>
      </c>
      <c r="J88" s="22"/>
      <c r="K88" s="25">
        <v>24000.0</v>
      </c>
      <c r="L88" s="27">
        <v>0</v>
      </c>
    </row>
    <row r="89" spans="2:12" ht="16">
      <c r="B89" s="22" t="s">
        <v>251</v>
      </c>
      <c r="C89" s="22" t="s">
        <v>5</v>
      </c>
      <c r="D89" s="22" t="s">
        <v>255</v>
      </c>
      <c r="E89" s="22" t="s">
        <v>256</v>
      </c>
      <c r="F89" s="22" t="s">
        <v>203</v>
      </c>
      <c r="G89" s="22" t="s">
        <v>254</v>
      </c>
      <c r="H89" s="25">
        <v>7840.0</v>
      </c>
      <c r="I89" s="25">
        <v>7840.0</v>
      </c>
      <c r="J89" s="22"/>
      <c r="K89" s="25">
        <v>7840.0</v>
      </c>
      <c r="L89" s="27">
        <v>0</v>
      </c>
    </row>
    <row r="90" spans="2:12" ht="16">
      <c r="B90" s="22" t="s">
        <v>251</v>
      </c>
      <c r="C90" s="22" t="s">
        <v>5</v>
      </c>
      <c r="D90" s="22" t="s">
        <v>257</v>
      </c>
      <c r="E90" s="22" t="s">
        <v>258</v>
      </c>
      <c r="F90" s="22" t="s">
        <v>49</v>
      </c>
      <c r="G90" s="22" t="s">
        <v>254</v>
      </c>
      <c r="H90" s="25">
        <v>583.16</v>
      </c>
      <c r="I90" s="25">
        <v>583.16</v>
      </c>
      <c r="J90" s="22"/>
      <c r="K90" s="25">
        <v>583.16</v>
      </c>
      <c r="L90" s="27">
        <v>0</v>
      </c>
    </row>
    <row r="91" spans="2:12" ht="16">
      <c r="B91" s="22" t="s">
        <v>215</v>
      </c>
      <c r="C91" s="22" t="s">
        <v>5</v>
      </c>
      <c r="D91" s="22" t="s">
        <v>259</v>
      </c>
      <c r="E91" s="22" t="s">
        <v>242</v>
      </c>
      <c r="F91" s="22" t="s">
        <v>260</v>
      </c>
      <c r="G91" s="22" t="s">
        <v>261</v>
      </c>
      <c r="H91" s="25">
        <v>4727.22</v>
      </c>
      <c r="I91" s="25">
        <v>4727.22</v>
      </c>
      <c r="J91" s="22"/>
      <c r="K91" s="25">
        <v>4727.22</v>
      </c>
      <c r="L91" s="27">
        <v>0</v>
      </c>
    </row>
    <row r="92" spans="2:12" ht="16">
      <c r="B92" s="22" t="s">
        <v>215</v>
      </c>
      <c r="C92" s="22" t="s">
        <v>5</v>
      </c>
      <c r="D92" s="22" t="s">
        <v>262</v>
      </c>
      <c r="E92" s="22" t="s">
        <v>263</v>
      </c>
      <c r="F92" s="22" t="s">
        <v>203</v>
      </c>
      <c r="G92" s="22" t="s">
        <v>261</v>
      </c>
      <c r="H92" s="25">
        <v>24000.0</v>
      </c>
      <c r="I92" s="25">
        <v>24000.0</v>
      </c>
      <c r="J92" s="22"/>
      <c r="K92" s="25">
        <v>24000.0</v>
      </c>
      <c r="L92" s="27">
        <v>0</v>
      </c>
    </row>
    <row r="93" spans="2:12" ht="16">
      <c r="B93" s="22" t="s">
        <v>264</v>
      </c>
      <c r="C93" s="22" t="s">
        <v>5</v>
      </c>
      <c r="D93" s="22" t="s">
        <v>265</v>
      </c>
      <c r="E93" s="22" t="s">
        <v>266</v>
      </c>
      <c r="F93" s="22" t="s">
        <v>203</v>
      </c>
      <c r="G93" s="22" t="s">
        <v>267</v>
      </c>
      <c r="H93" s="25">
        <v>24000.0</v>
      </c>
      <c r="I93" s="25">
        <v>24000.0</v>
      </c>
      <c r="J93" s="22"/>
      <c r="K93" s="25">
        <v>24000.0</v>
      </c>
      <c r="L93" s="27">
        <v>0</v>
      </c>
    </row>
    <row r="94" spans="2:12" ht="16">
      <c r="B94" s="22" t="s">
        <v>64</v>
      </c>
      <c r="C94" s="22" t="s">
        <v>5</v>
      </c>
      <c r="D94" s="22" t="s">
        <v>268</v>
      </c>
      <c r="E94" s="22" t="s">
        <v>269</v>
      </c>
      <c r="F94" s="22" t="s">
        <v>72</v>
      </c>
      <c r="G94" s="22" t="s">
        <v>270</v>
      </c>
      <c r="H94" s="25">
        <v>5880.0</v>
      </c>
      <c r="I94" s="25">
        <v>5880.0</v>
      </c>
      <c r="J94" s="22"/>
      <c r="K94" s="25">
        <v>5880.0</v>
      </c>
      <c r="L94" s="27">
        <v>0</v>
      </c>
    </row>
    <row r="95" spans="2:12" ht="16">
      <c r="B95" s="22" t="s">
        <v>232</v>
      </c>
      <c r="C95" s="22" t="s">
        <v>5</v>
      </c>
      <c r="D95" s="22" t="s">
        <v>271</v>
      </c>
      <c r="E95" s="22" t="s">
        <v>97</v>
      </c>
      <c r="F95" s="22" t="s">
        <v>203</v>
      </c>
      <c r="G95" s="22" t="s">
        <v>270</v>
      </c>
      <c r="H95" s="25">
        <v>19500.0</v>
      </c>
      <c r="I95" s="25">
        <v>19500.0</v>
      </c>
      <c r="J95" s="22"/>
      <c r="K95" s="25">
        <v>19500.0</v>
      </c>
      <c r="L95" s="27">
        <v>0</v>
      </c>
    </row>
    <row r="96" spans="2:12" ht="16">
      <c r="B96" s="22" t="s">
        <v>232</v>
      </c>
      <c r="C96" s="22" t="s">
        <v>5</v>
      </c>
      <c r="D96" s="22" t="s">
        <v>272</v>
      </c>
      <c r="E96" s="22" t="s">
        <v>269</v>
      </c>
      <c r="F96" s="22" t="s">
        <v>260</v>
      </c>
      <c r="G96" s="22" t="s">
        <v>270</v>
      </c>
      <c r="H96" s="25">
        <v>4704.66</v>
      </c>
      <c r="I96" s="25">
        <v>4704.66</v>
      </c>
      <c r="J96" s="22"/>
      <c r="K96" s="25">
        <v>4704.66</v>
      </c>
      <c r="L96" s="27">
        <v>0</v>
      </c>
    </row>
    <row r="97" spans="2:12" ht="16">
      <c r="B97" s="22" t="s">
        <v>215</v>
      </c>
      <c r="C97" s="22" t="s">
        <v>5</v>
      </c>
      <c r="D97" s="22" t="s">
        <v>273</v>
      </c>
      <c r="E97" s="22" t="s">
        <v>217</v>
      </c>
      <c r="F97" s="22" t="s">
        <v>203</v>
      </c>
      <c r="G97" s="22" t="s">
        <v>274</v>
      </c>
      <c r="H97" s="25">
        <v>4000.0</v>
      </c>
      <c r="I97" s="25">
        <v>4000.0</v>
      </c>
      <c r="J97" s="22"/>
      <c r="K97" s="25">
        <v>4000.0</v>
      </c>
      <c r="L97" s="27">
        <v>0</v>
      </c>
    </row>
    <row r="98" spans="1:12" ht="16">
      <c r="A98" s="32" t="s">
        <v>275</v>
      </c>
      <c r="H98" s="26">
        <f>H81+H82+H83+H84+H85+H86+H87+H88+H89+H90+H91+H92+H93+H94+H95+H96+H97</f>
        <v>159604.30000000002</v>
      </c>
      <c r="I98" s="26">
        <f>I81+I82+I83+I84+I85+I86+I87+I88+I89+I90+I91+I92+I93+I94+I95+I96+I97</f>
        <v>156834.33000000002</v>
      </c>
      <c r="K98" s="26">
        <f>K81+K82+K83+K84+K85+K86+K87+K88+K89+K90+K91+K92+K93+K94+K95+K96+K97</f>
        <v>152685.04</v>
      </c>
      <c r="L98" s="26">
        <f>L81+L82+L83+L84+L85+L86+L87+L88+L89+L90+L91+L92+L93+L94+L95+L96+L97</f>
        <v>0.0</v>
      </c>
    </row>
    <row r="99" spans="1:12" ht="16">
      <c r="A99" s="33" t="s">
        <v>276</v>
      </c>
      <c r="H99" s="26">
        <f>H50+H61+H67+H79+H98</f>
        <v>758323.17</v>
      </c>
      <c r="I99" s="26">
        <f>I50+I61+I67+I79+I98</f>
        <v>719860.1400000001</v>
      </c>
      <c r="K99" s="26">
        <f>K50+K61+K67+K79+K98</f>
        <v>645378.1900000001</v>
      </c>
      <c r="L99" s="26">
        <f>L50+L61+L67+L79+L98</f>
        <v>0.0</v>
      </c>
    </row>
    <row r="103" spans="1:1" ht="16">
      <c r="A103" s="34" t="s">
        <v>288</v>
      </c>
    </row>
  </sheetData>
  <mergeCells count="4">
    <mergeCell ref="A1:K1"/>
    <mergeCell ref="A2:K2"/>
    <mergeCell ref="A3:K3"/>
    <mergeCell ref="A103:K10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